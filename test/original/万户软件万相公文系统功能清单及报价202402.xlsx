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84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<sst xmlns="http://schemas.openxmlformats.org/spreadsheetml/2006/main" count="101" uniqueCount="77">
  <si>
    <t>万相公文系统功能清单及报价</t>
  </si>
  <si>
    <t>单位：元</t>
  </si>
  <si>
    <t>备注</t>
  </si>
  <si>
    <t>序号</t>
  </si>
  <si>
    <t>产品名称</t>
  </si>
  <si>
    <t>必选/可选</t>
  </si>
  <si>
    <t>产品描述</t>
  </si>
  <si>
    <t>数量</t>
  </si>
  <si>
    <t>单位</t>
  </si>
  <si>
    <t>买断单价-限价</t>
  </si>
  <si>
    <t>买断单价-指导价</t>
  </si>
  <si>
    <t>年服务单价-限价</t>
  </si>
  <si>
    <t>年服务单价-指导价</t>
  </si>
  <si>
    <t>价格</t>
  </si>
  <si>
    <t>应用软件</t>
  </si>
  <si>
    <t>不依赖数据库和中间件</t>
  </si>
  <si>
    <t>公文智库</t>
  </si>
  <si>
    <t>可选</t>
  </si>
  <si>
    <t>公文智库是一款具有较强领域专业性的知识服务软件，该软件汇集了政府部门网站、党媒等官方权威的网站资源，集成电子公文资源库，方便用户快速找到可靠的信息资源，提高信息资源的权威性。WPS插件版为政企事业单位的工作人员在撰写文稿时提供素材搜集、段落推荐、政务百科、领导讲话等知识服务功能，辅助高效写作；Web网页版工作人员可快速且精准的获取所需信息资源以及领导在审批文件或决策时提供辅助信息，如政策法规参考、最新热点信息等。旨在提供单位办公效率，为办公业务提供精准、完备的知识服务。</t>
  </si>
  <si>
    <t>套/年</t>
  </si>
  <si>
    <t>1.所有产品选项默认用户授权数为100个，允许有20%的浮动，多套走集采折扣报价；
2.所有产品买断的话，默认1年质保期，质保期内除了提供产品质量保证服务外，还提供相关数据更新服务，质保期后可采购升级服务。
3.公文编校产品包含了文字校对平台。
4.单机版产品报价是一套的价格，仅支持10套起购；若涉及特殊情况不满10套，则不提供售后服务。
5.公文内容识别的报价已包含1QPS文字识别引擎，若涉及省级集中/市级集中部署的需再额外单独购买文字识别引擎，市级集中推荐3qps，省级集中推荐5qps。</t>
  </si>
  <si>
    <t>公文智写（AI辅助编写-大模型）</t>
  </si>
  <si>
    <t>在政企数字化办公场景中，华宇打造了公文写作专属“小模型”。此模型基于先进的大语言模型，通过利用政府行业历史业务数据和知识进行模型微调训练，以提升其专业水平。然后利用现有的公文知识库对大语言模型的结果进行知识增强，为用户提供高度匹配的公文智能化辅助写作服务。具备文件起草、文稿精炼、段落扩写、续写、文稿总结、大纲扩写、政务百问等多项功能，能够显著提升公文写作的效率和质量。</t>
  </si>
  <si>
    <t>公文编校</t>
  </si>
  <si>
    <t>公文编校系统基于自主安全环境，内嵌于WPS、Word办公软件，根据《党政机关公文格式》（ GB/T 9704—2012 ）国家标准的公文格式要求，内置了16个通用公文模板，实现公文格式一键自动排版，轻松搞定复杂的公文格式；集成强大的智能校对引擎服务，针对公文内容中出现的字词错误、政治敏感、领导人信息错误、专业术语以及标点符号使用不当等错误信息进行快捷、精准的识别，并提供更正建议。能够准确地规避公文行文中的突出问题，为全面提升机关单位办公、办文处理能力提供高效、可靠、便捷的保障。
系统提供包括：智能排版、智能校对、常用词管理、公文比对、调整版头版记等主要功能。</t>
  </si>
  <si>
    <t>公文内容识别（1QPS）</t>
  </si>
  <si>
    <t>公文内容识别采用OCR、NLP等技术，基于华宇自研的公文内容提取引擎，对扫描图片、Word、PDF、OFD等格式的公文进行自动识别和提取，可自动回填至相关表单中，对公文进行归类整理和深度分析等应用，减少人工逐一核查和录入的工作量，提高办文处理效率。</t>
  </si>
  <si>
    <t>文字校对平台</t>
  </si>
  <si>
    <t>基于大数据、人工智能等技术，依托多年来华宇在拼音输入法、海量法律文书、公文、新闻、报刊等相关数据的积累，完全自主研发的校对引擎。满足常规环境和信创环境的部署要求。
平台支持字词错误、知识性错误、政治性差错、英文校对检查、数字标点用法错误、敏感词错误共 6 大类，35 小类的细分错误识别。</t>
  </si>
  <si>
    <t>公文编校单机版</t>
  </si>
  <si>
    <t>文字校对平台单机版</t>
  </si>
  <si>
    <t>万相公文SAAS版本</t>
  </si>
  <si>
    <t>SAAS产品形态主要是为客户（代理商或者合作伙伴）在某区域内提供万相公文服务，其中SAAS管理平台可以设定不同级别的租户，向用户进行精细化授权，按年付费的方式收取服务费。</t>
  </si>
  <si>
    <t>不存在买断价</t>
  </si>
  <si>
    <t>1000元/用户/年</t>
  </si>
  <si>
    <t>5000元/用户/年</t>
  </si>
  <si>
    <t>建议打包3年售卖</t>
  </si>
  <si>
    <t>除万相公文本身功能外，还需要提供一台服务器部署SAAS管理平台。</t>
  </si>
  <si>
    <t>软件服务</t>
  </si>
  <si>
    <t>公文编校语音朗读服务</t>
  </si>
  <si>
    <t>系统内设语音校读功能，用户可边听边核对公文内容，提升公文校验效率</t>
  </si>
  <si>
    <t>套</t>
  </si>
  <si>
    <t>公文智库升级服务</t>
  </si>
  <si>
    <t>提供最新获取的公开公文库以及系统最新的升级服务</t>
  </si>
  <si>
    <t>年</t>
  </si>
  <si>
    <t>每年的更新升级服务包括:
1.每年不少于4次算法、模型的升级；不少于6次的词库、语料升级。
2.定期系统巡检，包括系统日志、稳定性、负载、服务器状态。
3.7*24小时系统故障远程/现场技术支持。</t>
  </si>
  <si>
    <t>公文智写升级服务</t>
  </si>
  <si>
    <t>提供数据更新服务以及客户端最新程序的升级服务</t>
  </si>
  <si>
    <t>公文编校升级服务</t>
  </si>
  <si>
    <t>提供字词校对最新模型和词库，行文规范检查最新规则，客户端最新程序的升级服务。持续提升校对准确度，优化客户端易用性，持续提升用户体验。</t>
  </si>
  <si>
    <t>文字校对平台升级服务</t>
  </si>
  <si>
    <t>定制化服务</t>
  </si>
  <si>
    <t>系统对接</t>
  </si>
  <si>
    <t>公文智库对接单位自有公文库，形成单位内部统一的知识服务平台，有效挖掘办公数据资源的价值。</t>
  </si>
  <si>
    <t>根据客户需求在评估开发工作量，若涉及版式文件需依赖公文内容识别系统，限价10w，指导价17w，所需服务器资源还需单独报</t>
  </si>
  <si>
    <t>公文模板制作</t>
  </si>
  <si>
    <t>根据客户实际业务需要提供模板定制服务</t>
  </si>
  <si>
    <t>个</t>
  </si>
  <si>
    <t>若是基于内置的通用模板，只需要调整字体字号、正文行间距、红头里改文字，这些修改内容运维和实施人员通过模板定制工具便能完成定制，（销售决定是否）可提供4套免费定制；若是需要定制完全不一样的红头（如红头在第1页，正文第2页等），则需研发完成定制，费用按照公文模板制作价格和数量进行报价。</t>
  </si>
  <si>
    <t>大模型私有化训练</t>
  </si>
  <si>
    <t>用户的业务数据接入大模型进行精调训练</t>
  </si>
  <si>
    <t>定制化成本在20w左右
不建议私有化部署训练，需要训练大模型的硬件在150w左右，建议把客户的数据拿回公司训练</t>
  </si>
  <si>
    <t>硬件资源</t>
  </si>
  <si>
    <t>全系列部署</t>
  </si>
  <si>
    <t>包含公文智库、公文智写和公文编校，不包含公文内容识别。</t>
  </si>
  <si>
    <t>30并发，两台服务器，配置如下：
一台应用服务器：cpu32核、内存96G、硬盘1.5T；
一台大模型服务器：
CPU：2颗鲲鹏920（每颗48核）；
内存：256G；
硬盘：1块960G SSD；
显卡：2张atlas Duo卡（显存96G版本）</t>
  </si>
  <si>
    <t>一张显卡8并发</t>
  </si>
  <si>
    <t>只部署公文智库产品</t>
  </si>
  <si>
    <t>0-500用户数，一台服务器即可，配置如下：
X86/信创：16核、64G、1T
信创：24核、48G、500G</t>
  </si>
  <si>
    <t>公文智写</t>
  </si>
  <si>
    <t>只部署公文智写产品</t>
  </si>
  <si>
    <t>30并发，一台服务器，配置如下：
CPU：2颗鲲鹏920（每颗48核）；
内存：256G；
硬盘：1块960G SSD；
显卡：2张atlas Duo卡（显存96G版本）</t>
  </si>
  <si>
    <t>只部署公文编校产品</t>
  </si>
  <si>
    <t>0-500用户数，一台服务器即可，配置如下：
X86：16核、32G、500G
信创：24核、48G、500G</t>
  </si>
  <si>
    <t>公文内容识别</t>
  </si>
  <si>
    <t>需部署公文内容识别产品</t>
  </si>
  <si>
    <t>一台服务器即可，配置如下：
X86：10核以上、64G、1块960G SSD（运行系统和程序）、2块1.8TSAS硬盘（组RAID1，做数据缓存）、1片Tesla T4计算卡-16GB-PCle3.0x 16
信创：32核、64G、1块960G SSD（运行系统和程序）、2块1.8TSAS硬盘（组RAID1，做数据缓存）、1张Atlas300I推理卡</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</si>
</sst>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00;\¥\-#,##0.00"/>
  </numFmts>
  <fonts count="28">
    <font>
      <sz val="11"/>
      <name val="宋体"/>
      <charset val="134"/>
    </font>
    <font>
      <b/>
      <sz val="14"/>
      <name val="宋体"/>
      <charset val="134"/>
    </font>
    <font>
      <b/>
      <sz val="12"/>
      <name val="宋体"/>
      <charset val="134"/>
    </font>
    <font>
      <b/>
      <sz val="11"/>
      <name val="宋体"/>
      <charset val="134"/>
    </font>
    <font>
      <sz val="11"/>
      <color rgb="FF000000"/>
      <name val="宋体"/>
      <charset val="134"/>
    </font>
    <font>
      <sz val="11"/>
      <color indexed="8"/>
      <name val="宋体"/>
      <charset val="134"/>
    </font>
    <font>
      <b/>
      <sz val="10"/>
      <name val="宋体"/>
      <charset val="134"/>
    </font>
    <font>
      <sz val="11"/>
      <color rgb="FFFF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D9E1F4"/>
        <bgColor indexed="64"/>
      </patternFill>
    </fill>
    <fill>
      <patternFill patternType="solid">
        <fgColor rgb="FFD9D9D9"/>
        <bgColor indexed="64"/>
      </patternFill>
    </fill>
    <fill>
      <patternFill patternType="solid">
        <fgColor rgb="FFFCE4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5" borderId="1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1" applyNumberFormat="0" applyFill="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6" fillId="0" borderId="0" applyNumberFormat="0" applyFill="0" applyBorder="0" applyAlignment="0" applyProtection="0">
      <alignment vertical="center"/>
    </xf>
    <xf numFmtId="0" fontId="17" fillId="6" borderId="13" applyNumberFormat="0" applyAlignment="0" applyProtection="0">
      <alignment vertical="center"/>
    </xf>
    <xf numFmtId="0" fontId="18" fillId="7" borderId="14" applyNumberFormat="0" applyAlignment="0" applyProtection="0">
      <alignment vertical="center"/>
    </xf>
    <xf numFmtId="0" fontId="19" fillId="7" borderId="13" applyNumberFormat="0" applyAlignment="0" applyProtection="0">
      <alignment vertical="center"/>
    </xf>
    <xf numFmtId="0" fontId="20" fillId="8" borderId="15" applyNumberFormat="0" applyAlignment="0" applyProtection="0">
      <alignment vertical="center"/>
    </xf>
    <xf numFmtId="0" fontId="21" fillId="0" borderId="16" applyNumberFormat="0" applyFill="0" applyAlignment="0" applyProtection="0">
      <alignment vertical="center"/>
    </xf>
    <xf numFmtId="0" fontId="22" fillId="0" borderId="17" applyNumberFormat="0" applyFill="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7" fillId="33" borderId="0" applyNumberFormat="0" applyBorder="0" applyAlignment="0" applyProtection="0">
      <alignment vertical="center"/>
    </xf>
    <xf numFmtId="0" fontId="27" fillId="34" borderId="0" applyNumberFormat="0" applyBorder="0" applyAlignment="0" applyProtection="0">
      <alignment vertical="center"/>
    </xf>
    <xf numFmtId="0" fontId="26" fillId="35" borderId="0" applyNumberFormat="0" applyBorder="0" applyAlignment="0" applyProtection="0">
      <alignment vertical="center"/>
    </xf>
  </cellStyleXfs>
  <cellXfs count="49">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0" fillId="3" borderId="3" xfId="0" applyNumberFormat="1" applyFont="1" applyFill="1" applyBorder="1" applyAlignment="1">
      <alignment horizontal="center" vertical="center"/>
    </xf>
    <xf numFmtId="0" fontId="3" fillId="3" borderId="4" xfId="0" applyNumberFormat="1" applyFont="1" applyFill="1" applyBorder="1" applyAlignment="1">
      <alignment horizontal="center" vertical="center"/>
    </xf>
    <xf numFmtId="176" fontId="0" fillId="0" borderId="3" xfId="0" applyNumberFormat="1" applyFont="1" applyFill="1" applyBorder="1">
      <alignment vertical="center"/>
    </xf>
    <xf numFmtId="49" fontId="0" fillId="0" borderId="4" xfId="0" applyNumberFormat="1" applyFont="1" applyFill="1" applyBorder="1" applyAlignment="1">
      <alignment vertical="center" wrapText="1"/>
    </xf>
    <xf numFmtId="0" fontId="4" fillId="0" borderId="4" xfId="0" applyFont="1" applyFill="1" applyBorder="1" applyAlignment="1">
      <alignment vertical="center" wrapText="1"/>
    </xf>
    <xf numFmtId="0" fontId="0" fillId="0" borderId="4" xfId="0" applyFont="1" applyFill="1" applyBorder="1" applyAlignment="1">
      <alignment vertical="center" wrapText="1"/>
    </xf>
    <xf numFmtId="177" fontId="0" fillId="0" borderId="4" xfId="0" applyNumberFormat="1" applyFont="1" applyFill="1" applyBorder="1" applyAlignment="1">
      <alignment horizontal="right" vertical="center"/>
    </xf>
    <xf numFmtId="0" fontId="0" fillId="0" borderId="4" xfId="0" applyFont="1" applyFill="1" applyBorder="1" applyAlignment="1">
      <alignment horizontal="center" vertical="center"/>
    </xf>
    <xf numFmtId="178" fontId="5" fillId="2" borderId="4" xfId="0" applyNumberFormat="1" applyFont="1" applyFill="1" applyBorder="1" applyAlignment="1">
      <alignment horizontal="right" vertical="center"/>
    </xf>
    <xf numFmtId="176" fontId="4" fillId="0" borderId="3" xfId="0" applyNumberFormat="1" applyFont="1" applyFill="1" applyBorder="1">
      <alignment vertical="center"/>
    </xf>
    <xf numFmtId="49" fontId="4" fillId="0" borderId="4" xfId="0" applyNumberFormat="1" applyFont="1" applyFill="1" applyBorder="1" applyAlignment="1">
      <alignment horizontal="left" vertical="center" wrapText="1"/>
    </xf>
    <xf numFmtId="177" fontId="4" fillId="0" borderId="4" xfId="0" applyNumberFormat="1" applyFont="1" applyFill="1" applyBorder="1" applyAlignment="1">
      <alignment horizontal="right" vertical="center"/>
    </xf>
    <xf numFmtId="178" fontId="4" fillId="2" borderId="4" xfId="0" applyNumberFormat="1" applyFont="1" applyFill="1" applyBorder="1" applyAlignment="1">
      <alignment horizontal="right" vertical="center"/>
    </xf>
    <xf numFmtId="0" fontId="4" fillId="0" borderId="4" xfId="0" applyFont="1" applyFill="1" applyBorder="1" applyAlignment="1">
      <alignment horizontal="center" vertical="center"/>
    </xf>
    <xf numFmtId="178" fontId="4" fillId="0" borderId="4" xfId="0" applyNumberFormat="1" applyFont="1" applyFill="1" applyBorder="1" applyAlignment="1">
      <alignment horizontal="right" vertical="center"/>
    </xf>
    <xf numFmtId="178" fontId="5" fillId="0" borderId="4" xfId="0" applyNumberFormat="1" applyFont="1" applyFill="1" applyBorder="1" applyAlignment="1">
      <alignment horizontal="right" vertical="center"/>
    </xf>
    <xf numFmtId="177" fontId="4" fillId="0" borderId="4" xfId="0" applyNumberFormat="1" applyFont="1" applyFill="1" applyBorder="1" applyAlignment="1">
      <alignment horizontal="left" vertical="center" wrapText="1"/>
    </xf>
    <xf numFmtId="177" fontId="4" fillId="0" borderId="4" xfId="0" applyNumberFormat="1" applyFont="1" applyFill="1" applyBorder="1" applyAlignment="1">
      <alignment horizontal="left" vertical="center"/>
    </xf>
    <xf numFmtId="178" fontId="4" fillId="0" borderId="4" xfId="0" applyNumberFormat="1" applyFont="1" applyFill="1" applyBorder="1" applyAlignment="1">
      <alignment horizontal="left" vertical="center" wrapText="1"/>
    </xf>
    <xf numFmtId="178" fontId="4" fillId="0" borderId="4" xfId="0" applyNumberFormat="1" applyFont="1" applyFill="1" applyBorder="1" applyAlignment="1">
      <alignment horizontal="left" vertical="center"/>
    </xf>
    <xf numFmtId="176" fontId="0" fillId="0" borderId="5" xfId="0" applyNumberFormat="1" applyFont="1" applyFill="1" applyBorder="1">
      <alignment vertical="center"/>
    </xf>
    <xf numFmtId="49" fontId="4" fillId="0" borderId="6" xfId="0" applyNumberFormat="1" applyFont="1" applyFill="1" applyBorder="1" applyAlignment="1">
      <alignment horizontal="left" vertical="center" wrapText="1"/>
    </xf>
    <xf numFmtId="0" fontId="4" fillId="0" borderId="6" xfId="0" applyFont="1" applyFill="1" applyBorder="1" applyAlignment="1">
      <alignment vertical="center" wrapText="1"/>
    </xf>
    <xf numFmtId="177" fontId="4" fillId="0" borderId="6" xfId="0" applyNumberFormat="1" applyFont="1" applyFill="1" applyBorder="1" applyAlignment="1">
      <alignment horizontal="left" vertical="center" wrapText="1"/>
    </xf>
    <xf numFmtId="177" fontId="4" fillId="0" borderId="6" xfId="0" applyNumberFormat="1" applyFont="1" applyFill="1" applyBorder="1" applyAlignment="1">
      <alignment horizontal="left" vertical="center"/>
    </xf>
    <xf numFmtId="0" fontId="6" fillId="0" borderId="2" xfId="0" applyFont="1" applyFill="1" applyBorder="1" applyAlignment="1">
      <alignment horizontal="right" wrapText="1"/>
    </xf>
    <xf numFmtId="0" fontId="2" fillId="0" borderId="7"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0" borderId="4" xfId="0" applyFont="1" applyFill="1" applyBorder="1" applyAlignment="1">
      <alignment horizontal="right" wrapText="1"/>
    </xf>
    <xf numFmtId="0" fontId="2" fillId="0" borderId="8" xfId="0" applyFont="1" applyFill="1" applyBorder="1" applyAlignment="1">
      <alignment horizontal="right" vertical="center" wrapText="1"/>
    </xf>
    <xf numFmtId="0" fontId="7" fillId="0" borderId="8" xfId="0" applyFont="1" applyBorder="1">
      <alignment vertical="center"/>
    </xf>
    <xf numFmtId="178" fontId="5" fillId="4" borderId="4" xfId="0" applyNumberFormat="1" applyFont="1" applyFill="1" applyBorder="1" applyAlignment="1">
      <alignment horizontal="right" vertical="center"/>
    </xf>
    <xf numFmtId="0" fontId="7" fillId="0" borderId="8" xfId="0" applyFont="1" applyBorder="1" applyAlignment="1">
      <alignment horizontal="left" vertical="center" wrapText="1"/>
    </xf>
    <xf numFmtId="0" fontId="7" fillId="0" borderId="8" xfId="0" applyFont="1" applyBorder="1" applyAlignment="1">
      <alignment horizontal="left" vertical="center"/>
    </xf>
    <xf numFmtId="178" fontId="4" fillId="4" borderId="4" xfId="0" applyNumberFormat="1" applyFont="1" applyFill="1" applyBorder="1" applyAlignment="1">
      <alignment horizontal="right" vertical="center"/>
    </xf>
    <xf numFmtId="178" fontId="4" fillId="4" borderId="4" xfId="0" applyNumberFormat="1" applyFont="1" applyFill="1" applyBorder="1" applyAlignment="1">
      <alignment horizontal="right" vertical="center" wrapText="1"/>
    </xf>
    <xf numFmtId="178" fontId="4" fillId="0" borderId="4" xfId="0" applyNumberFormat="1" applyFont="1" applyFill="1" applyBorder="1" applyAlignment="1">
      <alignment horizontal="right" vertical="center" wrapText="1"/>
    </xf>
    <xf numFmtId="0" fontId="4" fillId="0" borderId="8" xfId="0" applyFont="1" applyBorder="1">
      <alignment vertical="center"/>
    </xf>
    <xf numFmtId="0" fontId="4" fillId="0" borderId="8" xfId="0" applyFont="1" applyBorder="1" applyAlignment="1">
      <alignment vertical="center" wrapText="1"/>
    </xf>
    <xf numFmtId="0" fontId="4" fillId="0" borderId="0" xfId="0" applyFont="1" applyAlignment="1">
      <alignment vertical="center" wrapText="1"/>
    </xf>
    <xf numFmtId="0" fontId="4" fillId="0" borderId="8" xfId="0" applyFont="1" applyBorder="1" applyAlignment="1">
      <alignment horizontal="center" vertical="center" wrapText="1"/>
    </xf>
    <xf numFmtId="0" fontId="7" fillId="0" borderId="8" xfId="0" applyFont="1" applyBorder="1" applyAlignment="1">
      <alignment vertical="center" wrapText="1"/>
    </xf>
    <xf numFmtId="0" fontId="4" fillId="0" borderId="9"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E79DCDA7-4802-40A8-ABE3-4160A9E4808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xr9:uid="{B62DDC08-EC7C-4680-B547-B80E8FD3C6DC}">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7"/>
  <sheetViews>
    <sheetView tabSelected="1" workbookViewId="0">
      <pane ySplit="2" topLeftCell="A6" activePane="bottomLeft" state="frozen"/>
      <selection/>
      <selection pane="bottomLeft" activeCell="C7" sqref="C7"/>
    </sheetView>
  </sheetViews>
  <sheetFormatPr defaultColWidth="9" defaultRowHeight="13.5"/>
  <cols>
    <col min="1" max="1" width="8.69166666666667" customWidth="1"/>
    <col min="2" max="2" width="19.8666666666667" customWidth="1"/>
    <col min="3" max="3" width="17.4666666666667" customWidth="1"/>
    <col min="4" max="4" width="59.9416666666667" customWidth="1"/>
    <col min="5" max="6" width="8.69166666666667" customWidth="1"/>
    <col min="7" max="11" width="12.6916666666667" customWidth="1"/>
    <col min="12" max="12" width="53.3666666666667" customWidth="1"/>
  </cols>
  <sheetData>
    <row r="1" ht="18.75" spans="1:12">
      <c r="A1" s="1" t="s">
        <v>0</v>
      </c>
      <c r="B1" s="2"/>
      <c r="C1" s="2"/>
      <c r="D1" s="2"/>
      <c r="E1" s="2"/>
      <c r="F1" s="2"/>
      <c r="G1" s="2"/>
      <c r="H1" s="2"/>
      <c r="I1" s="2"/>
      <c r="J1" s="2"/>
      <c r="K1" s="31" t="s">
        <v>1</v>
      </c>
      <c r="L1" s="32" t="s">
        <v>2</v>
      </c>
    </row>
    <row r="2" ht="28.5" spans="1:12">
      <c r="A2" s="3" t="s">
        <v>3</v>
      </c>
      <c r="B2" s="4" t="s">
        <v>4</v>
      </c>
      <c r="C2" s="4" t="s">
        <v>5</v>
      </c>
      <c r="D2" s="4" t="s">
        <v>6</v>
      </c>
      <c r="E2" s="4" t="s">
        <v>7</v>
      </c>
      <c r="F2" s="4" t="s">
        <v>8</v>
      </c>
      <c r="G2" s="5" t="s">
        <v>9</v>
      </c>
      <c r="H2" s="5" t="s">
        <v>10</v>
      </c>
      <c r="I2" s="33" t="s">
        <v>11</v>
      </c>
      <c r="J2" s="33" t="s">
        <v>12</v>
      </c>
      <c r="K2" s="34" t="s">
        <v>13</v>
      </c>
      <c r="L2" s="35"/>
    </row>
    <row r="3" spans="1:12">
      <c r="A3" s="6">
        <v>1</v>
      </c>
      <c r="B3" s="7" t="s">
        <v>14</v>
      </c>
      <c r="C3" s="7"/>
      <c r="D3" s="7"/>
      <c r="E3" s="7"/>
      <c r="F3" s="7"/>
      <c r="G3" s="7"/>
      <c r="H3" s="7"/>
      <c r="I3" s="7"/>
      <c r="J3" s="7"/>
      <c r="K3" s="7"/>
      <c r="L3" s="36" t="s">
        <v>15</v>
      </c>
    </row>
    <row r="4" ht="108" spans="1:12">
      <c r="A4" s="8">
        <f>INDEX(A:A,ROW()-1,1)+0.01</f>
        <v>1.01</v>
      </c>
      <c r="B4" s="9" t="s">
        <v>16</v>
      </c>
      <c r="C4" s="10" t="s">
        <v>17</v>
      </c>
      <c r="D4" s="11" t="s">
        <v>18</v>
      </c>
      <c r="E4" s="12">
        <v>1</v>
      </c>
      <c r="F4" s="13" t="s">
        <v>19</v>
      </c>
      <c r="G4" s="14">
        <v>130000</v>
      </c>
      <c r="H4" s="14">
        <v>220000</v>
      </c>
      <c r="I4" s="37">
        <v>30000</v>
      </c>
      <c r="J4" s="37">
        <v>50000</v>
      </c>
      <c r="K4" s="21"/>
      <c r="L4" s="38" t="s">
        <v>20</v>
      </c>
    </row>
    <row r="5" ht="81" spans="1:12">
      <c r="A5" s="8">
        <v>1.02</v>
      </c>
      <c r="B5" s="9" t="s">
        <v>21</v>
      </c>
      <c r="C5" s="10" t="s">
        <v>17</v>
      </c>
      <c r="D5" s="11" t="s">
        <v>22</v>
      </c>
      <c r="E5" s="12">
        <v>1</v>
      </c>
      <c r="F5" s="13" t="s">
        <v>19</v>
      </c>
      <c r="G5" s="14">
        <v>140000</v>
      </c>
      <c r="H5" s="14">
        <v>230000</v>
      </c>
      <c r="I5" s="37">
        <v>35000</v>
      </c>
      <c r="J5" s="37">
        <v>60000</v>
      </c>
      <c r="K5" s="21"/>
      <c r="L5" s="39"/>
    </row>
    <row r="6" ht="135" spans="1:12">
      <c r="A6" s="15">
        <v>1.03</v>
      </c>
      <c r="B6" s="16" t="s">
        <v>23</v>
      </c>
      <c r="C6" s="10" t="s">
        <v>17</v>
      </c>
      <c r="D6" s="10" t="s">
        <v>24</v>
      </c>
      <c r="E6" s="17">
        <v>1</v>
      </c>
      <c r="F6" s="13" t="s">
        <v>19</v>
      </c>
      <c r="G6" s="18">
        <v>120000</v>
      </c>
      <c r="H6" s="18">
        <v>200000</v>
      </c>
      <c r="I6" s="40">
        <v>30000</v>
      </c>
      <c r="J6" s="40">
        <v>50000</v>
      </c>
      <c r="K6" s="20"/>
      <c r="L6" s="39"/>
    </row>
    <row r="7" ht="54" spans="1:12">
      <c r="A7" s="15">
        <v>1.04</v>
      </c>
      <c r="B7" s="16" t="s">
        <v>25</v>
      </c>
      <c r="C7" s="10" t="s">
        <v>17</v>
      </c>
      <c r="D7" s="10" t="s">
        <v>26</v>
      </c>
      <c r="E7" s="17">
        <v>1</v>
      </c>
      <c r="F7" s="13" t="s">
        <v>19</v>
      </c>
      <c r="G7" s="18">
        <v>100000</v>
      </c>
      <c r="H7" s="18">
        <v>170000</v>
      </c>
      <c r="I7" s="40">
        <v>25000</v>
      </c>
      <c r="J7" s="40">
        <v>40000</v>
      </c>
      <c r="K7" s="20"/>
      <c r="L7" s="39"/>
    </row>
    <row r="8" ht="67.5" spans="1:12">
      <c r="A8" s="15">
        <v>1.05</v>
      </c>
      <c r="B8" s="16" t="s">
        <v>27</v>
      </c>
      <c r="C8" s="10" t="s">
        <v>17</v>
      </c>
      <c r="D8" s="10" t="s">
        <v>28</v>
      </c>
      <c r="E8" s="17">
        <v>1</v>
      </c>
      <c r="F8" s="13" t="s">
        <v>19</v>
      </c>
      <c r="G8" s="18">
        <v>100000</v>
      </c>
      <c r="H8" s="18">
        <v>170000</v>
      </c>
      <c r="I8" s="40">
        <v>25000</v>
      </c>
      <c r="J8" s="40">
        <v>40000</v>
      </c>
      <c r="K8" s="20"/>
      <c r="L8" s="39"/>
    </row>
    <row r="9" ht="67.5" spans="1:12">
      <c r="A9" s="15">
        <v>1.06</v>
      </c>
      <c r="B9" s="16" t="s">
        <v>29</v>
      </c>
      <c r="C9" s="10" t="s">
        <v>17</v>
      </c>
      <c r="D9" s="10" t="s">
        <v>28</v>
      </c>
      <c r="E9" s="17">
        <v>1</v>
      </c>
      <c r="F9" s="13" t="s">
        <v>19</v>
      </c>
      <c r="G9" s="18">
        <v>12000</v>
      </c>
      <c r="H9" s="18">
        <v>20000</v>
      </c>
      <c r="I9" s="40">
        <v>2000</v>
      </c>
      <c r="J9" s="40">
        <v>4466</v>
      </c>
      <c r="K9" s="20"/>
      <c r="L9" s="39"/>
    </row>
    <row r="10" ht="67.5" spans="1:12">
      <c r="A10" s="15">
        <v>1.07</v>
      </c>
      <c r="B10" s="16" t="s">
        <v>30</v>
      </c>
      <c r="C10" s="10" t="s">
        <v>17</v>
      </c>
      <c r="D10" s="10" t="s">
        <v>28</v>
      </c>
      <c r="E10" s="17">
        <v>1</v>
      </c>
      <c r="F10" s="13" t="s">
        <v>19</v>
      </c>
      <c r="G10" s="18">
        <v>10000</v>
      </c>
      <c r="H10" s="18">
        <v>20000</v>
      </c>
      <c r="I10" s="40">
        <v>2000</v>
      </c>
      <c r="J10" s="40">
        <v>3633</v>
      </c>
      <c r="K10" s="20"/>
      <c r="L10" s="39"/>
    </row>
    <row r="11" ht="40.5" spans="1:12">
      <c r="A11" s="15">
        <v>1.08</v>
      </c>
      <c r="B11" s="16" t="s">
        <v>31</v>
      </c>
      <c r="C11" s="10" t="s">
        <v>17</v>
      </c>
      <c r="D11" s="10" t="s">
        <v>32</v>
      </c>
      <c r="E11" s="17"/>
      <c r="F11" s="13"/>
      <c r="G11" s="18" t="s">
        <v>33</v>
      </c>
      <c r="H11" s="18" t="s">
        <v>33</v>
      </c>
      <c r="I11" s="41" t="s">
        <v>34</v>
      </c>
      <c r="J11" s="41" t="s">
        <v>35</v>
      </c>
      <c r="K11" s="42" t="s">
        <v>36</v>
      </c>
      <c r="L11" s="38" t="s">
        <v>37</v>
      </c>
    </row>
    <row r="12" spans="1:12">
      <c r="A12" s="6">
        <v>2</v>
      </c>
      <c r="B12" s="7" t="s">
        <v>38</v>
      </c>
      <c r="C12" s="7"/>
      <c r="D12" s="7"/>
      <c r="E12" s="7"/>
      <c r="F12" s="7"/>
      <c r="G12" s="7"/>
      <c r="H12" s="7"/>
      <c r="I12" s="7"/>
      <c r="J12" s="7"/>
      <c r="K12" s="7"/>
      <c r="L12" s="43"/>
    </row>
    <row r="13" ht="27" spans="1:14">
      <c r="A13" s="8">
        <f>INDEX(A:A,ROW()-1,1)+0.01</f>
        <v>2.01</v>
      </c>
      <c r="B13" s="9" t="s">
        <v>39</v>
      </c>
      <c r="C13" s="10" t="s">
        <v>17</v>
      </c>
      <c r="D13" s="10" t="s">
        <v>40</v>
      </c>
      <c r="E13" s="17">
        <v>1</v>
      </c>
      <c r="F13" s="19" t="s">
        <v>41</v>
      </c>
      <c r="G13" s="20">
        <v>10000</v>
      </c>
      <c r="H13" s="20">
        <v>15000</v>
      </c>
      <c r="I13" s="20"/>
      <c r="J13" s="20"/>
      <c r="K13" s="20"/>
      <c r="L13" s="44"/>
      <c r="N13" s="45"/>
    </row>
    <row r="14" spans="1:14">
      <c r="A14" s="8">
        <f>INDEX(A:A,ROW()-1,1)+0.01</f>
        <v>2.02</v>
      </c>
      <c r="B14" s="9" t="s">
        <v>42</v>
      </c>
      <c r="C14" s="10"/>
      <c r="D14" s="10" t="s">
        <v>43</v>
      </c>
      <c r="E14" s="17">
        <v>1</v>
      </c>
      <c r="F14" s="19" t="s">
        <v>44</v>
      </c>
      <c r="G14" s="20"/>
      <c r="H14" s="20"/>
      <c r="I14" s="20">
        <v>26000</v>
      </c>
      <c r="J14" s="20">
        <v>40000</v>
      </c>
      <c r="K14" s="20"/>
      <c r="L14" s="46" t="s">
        <v>45</v>
      </c>
      <c r="N14" s="45"/>
    </row>
    <row r="15" spans="1:12">
      <c r="A15" s="8">
        <v>2.03</v>
      </c>
      <c r="B15" s="9" t="s">
        <v>46</v>
      </c>
      <c r="C15" s="10"/>
      <c r="D15" s="10" t="s">
        <v>47</v>
      </c>
      <c r="E15" s="17">
        <v>1</v>
      </c>
      <c r="F15" s="19" t="s">
        <v>44</v>
      </c>
      <c r="G15" s="20"/>
      <c r="H15" s="20"/>
      <c r="I15" s="20">
        <v>28000</v>
      </c>
      <c r="J15" s="20">
        <v>50000</v>
      </c>
      <c r="K15" s="20"/>
      <c r="L15" s="46"/>
    </row>
    <row r="16" ht="40.5" spans="1:12">
      <c r="A16" s="8">
        <v>2.04</v>
      </c>
      <c r="B16" s="16" t="s">
        <v>48</v>
      </c>
      <c r="C16" s="11"/>
      <c r="D16" s="11" t="s">
        <v>49</v>
      </c>
      <c r="E16" s="12">
        <v>1</v>
      </c>
      <c r="F16" s="13" t="s">
        <v>44</v>
      </c>
      <c r="G16" s="21"/>
      <c r="H16" s="21"/>
      <c r="I16" s="21">
        <v>20000</v>
      </c>
      <c r="J16" s="21">
        <v>30000</v>
      </c>
      <c r="K16" s="21"/>
      <c r="L16" s="46"/>
    </row>
    <row r="17" ht="40.5" spans="1:12">
      <c r="A17" s="8">
        <v>2.05</v>
      </c>
      <c r="B17" s="16" t="s">
        <v>50</v>
      </c>
      <c r="C17" s="11"/>
      <c r="D17" s="11" t="s">
        <v>49</v>
      </c>
      <c r="E17" s="12">
        <v>1</v>
      </c>
      <c r="F17" s="13" t="s">
        <v>44</v>
      </c>
      <c r="G17" s="21"/>
      <c r="H17" s="21"/>
      <c r="I17" s="21">
        <v>20000</v>
      </c>
      <c r="J17" s="21">
        <v>30000</v>
      </c>
      <c r="K17" s="21"/>
      <c r="L17" s="46"/>
    </row>
    <row r="18" customFormat="1" spans="1:12">
      <c r="A18" s="6">
        <v>3</v>
      </c>
      <c r="B18" s="7" t="s">
        <v>51</v>
      </c>
      <c r="C18" s="7"/>
      <c r="D18" s="7"/>
      <c r="E18" s="7"/>
      <c r="F18" s="7"/>
      <c r="G18" s="7"/>
      <c r="H18" s="7"/>
      <c r="I18" s="7"/>
      <c r="J18" s="7"/>
      <c r="K18" s="7"/>
      <c r="L18" s="43"/>
    </row>
    <row r="19" ht="40.5" spans="1:14">
      <c r="A19" s="8">
        <f>INDEX(A:A,ROW()-1,1)+0.01</f>
        <v>3.01</v>
      </c>
      <c r="B19" s="9" t="s">
        <v>52</v>
      </c>
      <c r="C19" s="10"/>
      <c r="D19" s="10" t="s">
        <v>53</v>
      </c>
      <c r="E19" s="17"/>
      <c r="F19" s="19"/>
      <c r="G19" s="20"/>
      <c r="H19" s="20"/>
      <c r="I19" s="20"/>
      <c r="J19" s="20"/>
      <c r="K19" s="20"/>
      <c r="L19" s="47" t="s">
        <v>54</v>
      </c>
      <c r="N19" s="45"/>
    </row>
    <row r="20" customFormat="1" ht="67.5" spans="1:12">
      <c r="A20" s="8">
        <v>3.02</v>
      </c>
      <c r="B20" s="9" t="s">
        <v>55</v>
      </c>
      <c r="C20" s="10"/>
      <c r="D20" s="10" t="s">
        <v>56</v>
      </c>
      <c r="E20" s="17">
        <v>1</v>
      </c>
      <c r="F20" s="19" t="s">
        <v>57</v>
      </c>
      <c r="G20" s="20">
        <v>60000</v>
      </c>
      <c r="H20" s="20">
        <v>10000</v>
      </c>
      <c r="I20" s="20"/>
      <c r="J20" s="20"/>
      <c r="K20" s="20"/>
      <c r="L20" s="47" t="s">
        <v>58</v>
      </c>
    </row>
    <row r="21" customFormat="1" ht="40.5" spans="1:12">
      <c r="A21" s="8">
        <v>3.03</v>
      </c>
      <c r="B21" s="16" t="s">
        <v>59</v>
      </c>
      <c r="C21" s="11"/>
      <c r="D21" s="11" t="s">
        <v>60</v>
      </c>
      <c r="E21" s="12"/>
      <c r="F21" s="13"/>
      <c r="G21" s="21"/>
      <c r="H21" s="21"/>
      <c r="I21" s="21"/>
      <c r="J21" s="21"/>
      <c r="K21" s="21"/>
      <c r="L21" s="47" t="s">
        <v>61</v>
      </c>
    </row>
    <row r="22" spans="1:12">
      <c r="A22" s="6">
        <v>4</v>
      </c>
      <c r="B22" s="7" t="s">
        <v>62</v>
      </c>
      <c r="C22" s="7"/>
      <c r="D22" s="7"/>
      <c r="E22" s="7"/>
      <c r="F22" s="7"/>
      <c r="G22" s="7"/>
      <c r="H22" s="7"/>
      <c r="I22" s="7"/>
      <c r="J22" s="7"/>
      <c r="K22" s="7"/>
      <c r="L22" s="44"/>
    </row>
    <row r="23" ht="139" customHeight="1" spans="1:12">
      <c r="A23" s="8">
        <f>INDEX(A:A,ROW()-1,1)+0.01</f>
        <v>4.01</v>
      </c>
      <c r="B23" s="9" t="s">
        <v>63</v>
      </c>
      <c r="C23" s="10"/>
      <c r="D23" s="10" t="s">
        <v>64</v>
      </c>
      <c r="E23" s="22" t="s">
        <v>65</v>
      </c>
      <c r="F23" s="23"/>
      <c r="G23" s="23"/>
      <c r="H23" s="23"/>
      <c r="I23" s="23"/>
      <c r="J23" s="23"/>
      <c r="K23" s="23"/>
      <c r="L23" s="44" t="s">
        <v>66</v>
      </c>
    </row>
    <row r="24" ht="65" customHeight="1" spans="1:14">
      <c r="A24" s="8">
        <f>INDEX(A:A,ROW()-1,1)+0.01</f>
        <v>4.02</v>
      </c>
      <c r="B24" s="9" t="s">
        <v>16</v>
      </c>
      <c r="C24" s="10"/>
      <c r="D24" s="10" t="s">
        <v>67</v>
      </c>
      <c r="E24" s="22" t="s">
        <v>68</v>
      </c>
      <c r="F24" s="23"/>
      <c r="G24" s="23"/>
      <c r="H24" s="23"/>
      <c r="I24" s="23"/>
      <c r="J24" s="23"/>
      <c r="K24" s="23"/>
      <c r="L24" s="43"/>
      <c r="N24" s="45"/>
    </row>
    <row r="25" customFormat="1" ht="126" customHeight="1" spans="1:12">
      <c r="A25" s="8">
        <v>4.03</v>
      </c>
      <c r="B25" s="9" t="s">
        <v>69</v>
      </c>
      <c r="C25" s="10"/>
      <c r="D25" s="10" t="s">
        <v>70</v>
      </c>
      <c r="E25" s="24" t="s">
        <v>71</v>
      </c>
      <c r="F25" s="25"/>
      <c r="G25" s="25"/>
      <c r="H25" s="25"/>
      <c r="I25" s="25"/>
      <c r="J25" s="25"/>
      <c r="K25" s="25"/>
      <c r="L25" s="43" t="s">
        <v>66</v>
      </c>
    </row>
    <row r="26" customFormat="1" ht="51" customHeight="1" spans="1:12">
      <c r="A26" s="8">
        <v>4.04</v>
      </c>
      <c r="B26" s="16" t="s">
        <v>23</v>
      </c>
      <c r="C26" s="10"/>
      <c r="D26" s="10" t="s">
        <v>72</v>
      </c>
      <c r="E26" s="22" t="s">
        <v>73</v>
      </c>
      <c r="F26" s="23"/>
      <c r="G26" s="23"/>
      <c r="H26" s="23"/>
      <c r="I26" s="23"/>
      <c r="J26" s="23"/>
      <c r="K26" s="23"/>
      <c r="L26" s="43"/>
    </row>
    <row r="27" customFormat="1" ht="97" customHeight="1" spans="1:12">
      <c r="A27" s="26">
        <v>4.05</v>
      </c>
      <c r="B27" s="27" t="s">
        <v>74</v>
      </c>
      <c r="C27" s="28"/>
      <c r="D27" s="28" t="s">
        <v>75</v>
      </c>
      <c r="E27" s="29" t="s">
        <v>76</v>
      </c>
      <c r="F27" s="30"/>
      <c r="G27" s="30"/>
      <c r="H27" s="30"/>
      <c r="I27" s="30"/>
      <c r="J27" s="30"/>
      <c r="K27" s="30"/>
      <c r="L27" s="48"/>
    </row>
  </sheetData>
  <mergeCells count="13">
    <mergeCell ref="A1:J1"/>
    <mergeCell ref="B3:K3"/>
    <mergeCell ref="B12:K12"/>
    <mergeCell ref="B18:K18"/>
    <mergeCell ref="B22:K22"/>
    <mergeCell ref="E23:K23"/>
    <mergeCell ref="E24:K24"/>
    <mergeCell ref="E25:K25"/>
    <mergeCell ref="E26:K26"/>
    <mergeCell ref="E27:K27"/>
    <mergeCell ref="L1:L2"/>
    <mergeCell ref="L4:L10"/>
    <mergeCell ref="L14:L1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xzandpq</dc:creator>
  <cp:lastModifiedBy>川人</cp:lastModifiedBy>
  <dcterms:created xsi:type="dcterms:W3CDTF">2023-10-21T18:49:00Z</dcterms:created>
  <dcterms:modified xsi:type="dcterms:W3CDTF">2024-02-01T07:16:48Z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7597AA4F193860281E993065244C699F_41</vt:lpwstr>
  </property>
  <property fmtid="{D5CDD505-2E9C-101B-9397-08002B2CF9AE}" pid="3" name="KSOProductBuildVer">
    <vt:lpwstr>2052-12.1.0.16250</vt:lpwstr>
  </property>
</Properties>
</file>